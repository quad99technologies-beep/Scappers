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89" documentId="8_{74E4AC39-0CB8-4C42-BB34-D543DA98EE9F}" xr6:coauthVersionLast="47" xr6:coauthVersionMax="47" xr10:uidLastSave="{FC9EFC9C-0379-47FE-9AC9-5434296F1BAD}"/>
  <bookViews>
    <workbookView xWindow="20" yWindow="740" windowWidth="19180" windowHeight="10060" xr2:uid="{00000000-000D-0000-FFFF-FFFF00000000}"/>
  </bookViews>
  <sheets>
    <sheet name="Source" sheetId="1" r:id="rId1"/>
    <sheet name="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<sst xmlns="http://schemas.openxmlformats.org/spreadsheetml/2006/main" count="184" uniqueCount="140">
  <si>
    <t>Source</t>
  </si>
  <si>
    <t>Source 1</t>
  </si>
  <si>
    <t>https://www.formulary.health.gov.on.ca/formulary/</t>
  </si>
  <si>
    <t>Source 2</t>
  </si>
  <si>
    <t>https://www.ontario.ca/page/exceptional-access-program-product-prices</t>
  </si>
  <si>
    <t>Source 3</t>
  </si>
  <si>
    <t>http://www.pcodr.ca/wcpc/portal/Home/FindaReview?_afrLoop=3585663163466000&amp;lang=en&amp;_afrWindowMode=0&amp;_adf.ctrl-state=ou6p14jlk_167</t>
  </si>
  <si>
    <t>In Formulatory source we search the product by generic name as shown below</t>
  </si>
  <si>
    <t>For eg: If we search Imatinib in the search box we will get the information as below</t>
  </si>
  <si>
    <t>The price present here is the unit price</t>
  </si>
  <si>
    <t>Only the Local Pack Description has PK key word the the price is the whole pack price.</t>
  </si>
  <si>
    <t>To get the company name we have to click on Local Pack Code.</t>
  </si>
  <si>
    <t>Below window get open</t>
  </si>
  <si>
    <t>The Reiumbersment of packs from Formulatory source is calculated as below</t>
  </si>
  <si>
    <t>We get the Reimbursable Price as shown in above example, same like the Ex Factory price these prices can be Unit or Full pack Price.</t>
  </si>
  <si>
    <t>If PK Key word is not present in Local Pack description then the Reimbursable Price is Unit Price which need to be calculated with Fill or Pack Size as suggested.</t>
  </si>
  <si>
    <t>To Calculate Copay using Reimbursable Price first we need Public with VAT price which is calculated as shown below</t>
  </si>
  <si>
    <t>Public with Vat Price = Exfactory Price * 1.08</t>
  </si>
  <si>
    <t>Once we get the Public with VAT price we can get Copay as below</t>
  </si>
  <si>
    <t>Copay =</t>
  </si>
  <si>
    <t>Public with VAT price - Reimbursable Price</t>
  </si>
  <si>
    <t>If the reimbursement column is blank or N/A then the pack is considered as Non reimbursable.</t>
  </si>
  <si>
    <t>Reimbursable Status</t>
  </si>
  <si>
    <t>Reimbursable Price</t>
  </si>
  <si>
    <t>Reimbursable Rate</t>
  </si>
  <si>
    <t>Reimbursable Notes</t>
  </si>
  <si>
    <t>Copayment Value</t>
  </si>
  <si>
    <t>Copayment Percent</t>
  </si>
  <si>
    <t>PARTIALLY REIMBURSABLE</t>
  </si>
  <si>
    <t>DRUGS FUNDED BY DBF. THERE EXISTS AN ADDITIONAL COPAYMENT BASED ON PATIENT'S AGE/INCOME ($6.11/PRESCRIPTION FOR 65 YEARS &amp; OLD, INCOME ABOVE $19,300; $2/PRESCRIPTION FOR 65 YEARS OLD, INCOME BELOW $19,300 &amp; FOR POPULATION UNDER TRILLIUM DRUG PROGRAM)</t>
  </si>
  <si>
    <t>NON REIMBURSABLE</t>
  </si>
  <si>
    <t>OFF-FORMULARY INTERCHANGEABLE, COVERED BY PRIVATE PLANS THAT ARE PAID FOR BY EMPLOYERS OR CASH-PAYING CUSTOMERS</t>
  </si>
  <si>
    <t>In EAP source i.e source 2</t>
  </si>
  <si>
    <t>Information needs to be pulled as shown</t>
  </si>
  <si>
    <t>Only is the Local Pack Description has PK key word the the price is the whole pack price.</t>
  </si>
  <si>
    <t>RI of the pack</t>
  </si>
  <si>
    <t>Keep Copay as Zero and the RI price is equal to Public with VAT Price</t>
  </si>
  <si>
    <t>To Calculate Public with Vat Price</t>
  </si>
  <si>
    <t xml:space="preserve">Ex Factory Wholesale Price*1.08 </t>
  </si>
  <si>
    <t>FULLY REIMBURSABLE</t>
  </si>
  <si>
    <t>DRUGS FUNDED BY EAP. THERE EXISTS AN ADDITIONAL COPAYMENT BASED ON PATIENT'S AGE/INCOME ($6.11/PRESCRIPTION FOR 65 YEARS &amp; OLD, INCOME ABOVE $19,300; $2/PRESCRIPTION FOR 65 YEARS OLD, INCOME BELOW $19,300 &amp; FOR POPULATION UNDER TRILLIUM DRUG PROGRAM)</t>
  </si>
  <si>
    <t>In CADTH Source 3</t>
  </si>
  <si>
    <t>IF we didn't find the product using both Formulatory and EAP source we have to go to CADTH source.</t>
  </si>
  <si>
    <t>We can search her is by generic name.</t>
  </si>
  <si>
    <t>Click on the links which we get after search, we will try to find Final Reccomendation PDF.</t>
  </si>
  <si>
    <t>After clicking on this we will get a PDF, in this we have to serach for the information required.</t>
  </si>
  <si>
    <t>Every PDF of generics are different.</t>
  </si>
  <si>
    <t>To Find Price we can use two keywords, cost and price.</t>
  </si>
  <si>
    <t>In the above screenshot there are two packs 100 MG &amp; 400 MG for a generic.</t>
  </si>
  <si>
    <t>The RI for the packs from CADTH are as below</t>
  </si>
  <si>
    <t>DRUGS FUNDED BY NATIONAL DRUG FUNDING PROGRAM (NDFP) ARE FULLY REIMBURSED</t>
  </si>
  <si>
    <t>Margin Rule</t>
  </si>
  <si>
    <t>365 All Drugs2</t>
  </si>
  <si>
    <t>Find Below link to search for the Fill size.</t>
  </si>
  <si>
    <t>We can do the search by Local code and if local code is not present need to find corrent product name, Generic,Strength.</t>
  </si>
  <si>
    <r>
      <t>http://www.health.gov.nl.ca/health/prescription/newformulary.asp</t>
    </r>
    <r>
      <rPr>
        <sz val="10"/>
        <color theme="1"/>
        <rFont val="Segoe UI"/>
        <family val="2"/>
      </rPr>
      <t xml:space="preserve"> </t>
    </r>
  </si>
  <si>
    <t>Search by Drug Identification Number (DIN): Local Pack Code</t>
  </si>
  <si>
    <t>Please mark in customised column 2 from where the data is taken</t>
  </si>
  <si>
    <t>Source Name</t>
  </si>
  <si>
    <t>FORMULATORY</t>
  </si>
  <si>
    <t>EAP</t>
  </si>
  <si>
    <t>CADTH</t>
  </si>
  <si>
    <t>Package Number</t>
  </si>
  <si>
    <t>Country</t>
  </si>
  <si>
    <t>Company</t>
  </si>
  <si>
    <t>Product Group</t>
  </si>
  <si>
    <t>Local Product Name</t>
  </si>
  <si>
    <t>Generic Name</t>
  </si>
  <si>
    <t>Description</t>
  </si>
  <si>
    <t>Indication</t>
  </si>
  <si>
    <t>Pack Size</t>
  </si>
  <si>
    <t>Effective Start Date</t>
  </si>
  <si>
    <t>Effective End Date</t>
  </si>
  <si>
    <t>Currency</t>
  </si>
  <si>
    <t>Ex Factory Wholesale Price</t>
  </si>
  <si>
    <t>Ex Factory Wholesale Price Less Rebate</t>
  </si>
  <si>
    <t>Ex Factory Hospital Price</t>
  </si>
  <si>
    <t>Ex Factory Hospital Price Less Rebate</t>
  </si>
  <si>
    <t>Ex Factory to Pharmacy Price</t>
  </si>
  <si>
    <t>Pharmacy Purchase Price</t>
  </si>
  <si>
    <t>Pharmacy Purchase Price Less Rebate</t>
  </si>
  <si>
    <t>Public without VAT Price</t>
  </si>
  <si>
    <t>Public Without VAT Price Less Rebate</t>
  </si>
  <si>
    <t>Public with VAT Price</t>
  </si>
  <si>
    <t>Public With VAT Price Less Rebate</t>
  </si>
  <si>
    <t>VAT Percent</t>
  </si>
  <si>
    <t>Package Notes</t>
  </si>
  <si>
    <t>Discontinued</t>
  </si>
  <si>
    <t>Region</t>
  </si>
  <si>
    <t>WHO ATC Code</t>
  </si>
  <si>
    <t>Therapeutic Areas</t>
  </si>
  <si>
    <t>Presentation</t>
  </si>
  <si>
    <t>Marketing Authority</t>
  </si>
  <si>
    <t>Local Pack Description</t>
  </si>
  <si>
    <t>Formulation</t>
  </si>
  <si>
    <t>Fill Unit</t>
  </si>
  <si>
    <t>Fill Size</t>
  </si>
  <si>
    <t>Pack Unit</t>
  </si>
  <si>
    <t>Strength</t>
  </si>
  <si>
    <t>Strength Unit</t>
  </si>
  <si>
    <t>Brand Type</t>
  </si>
  <si>
    <t>Import Type</t>
  </si>
  <si>
    <t>Combination Molecule</t>
  </si>
  <si>
    <t>Quality Control Status</t>
  </si>
  <si>
    <t>Quality Control Notes</t>
  </si>
  <si>
    <t>Client</t>
  </si>
  <si>
    <t>Client Pack Description</t>
  </si>
  <si>
    <t>LOCAL_PACK_CODE</t>
  </si>
  <si>
    <t>APPROVAL_DT</t>
  </si>
  <si>
    <t>DDD Value</t>
  </si>
  <si>
    <t>DDD Unit</t>
  </si>
  <si>
    <t>Customised 1</t>
  </si>
  <si>
    <t>Customised 2</t>
  </si>
  <si>
    <t>Customised 3</t>
  </si>
  <si>
    <t>Customised 4</t>
  </si>
  <si>
    <t>Customised 5</t>
  </si>
  <si>
    <t>Customised 6</t>
  </si>
  <si>
    <t>Customised 7</t>
  </si>
  <si>
    <t>Customised 8</t>
  </si>
  <si>
    <t>Customised 9</t>
  </si>
  <si>
    <t>Customised 10</t>
  </si>
  <si>
    <t>Customised 11</t>
  </si>
  <si>
    <t>USING TEMPLATE 1</t>
  </si>
  <si>
    <t>CANADA ONTARIO</t>
  </si>
  <si>
    <t>Pendopharm, Division of Pharmascience Inc.</t>
  </si>
  <si>
    <t>ACETYLSALICYLIC ACID COMPOUND WITH CODEINE</t>
  </si>
  <si>
    <t>01-04-2019</t>
  </si>
  <si>
    <t>CAD</t>
  </si>
  <si>
    <t>No</t>
  </si>
  <si>
    <t>NORTH AMERICA</t>
  </si>
  <si>
    <t>292 30mg Tab</t>
  </si>
  <si>
    <t>02238645</t>
  </si>
  <si>
    <t>NO</t>
  </si>
  <si>
    <t>LOGICS</t>
  </si>
  <si>
    <t>Default</t>
  </si>
  <si>
    <t>Refer Source</t>
  </si>
  <si>
    <t>1st of the month</t>
  </si>
  <si>
    <t>Refer Web Source</t>
  </si>
  <si>
    <t>APPENDED RESULTSET</t>
  </si>
  <si>
    <t>Original Column Names/Comments for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</si>
</sst>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1"/>
      <color theme="0"/>
      <name val="Calibri"/>
      <family val="2"/>
    </font>
    <font>
      <sz val="10"/>
      <color theme="1"/>
      <name val="Segoe UI"/>
      <family val="2"/>
    </font>
    <font>
      <sz val="12"/>
      <color theme="1"/>
      <name val="Times New Roman"/>
      <family val="1"/>
    </font>
    <font>
      <b/>
      <sz val="11"/>
      <name val="Calibri"/>
      <family val="2"/>
      <scheme val="minor"/>
    </font>
    <font>
      <b/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Fill="1" applyBorder="1" applyAlignment="1" applyProtection="1"/>
    <xf numFmtId="0" fontId="2" fillId="0" borderId="0" xfId="1" applyBorder="1" applyAlignment="1" applyProtection="1"/>
    <xf numFmtId="0" fontId="2" fillId="0" borderId="0" xfId="1" applyBorder="1" applyAlignment="1" applyProtection="1">
      <alignment horizontal="left"/>
    </xf>
    <xf numFmtId="0" fontId="1" fillId="0" borderId="0" xfId="0" applyFont="1"/>
    <xf numFmtId="0" fontId="3" fillId="0" borderId="0" xfId="0" applyFont="1"/>
    <xf numFmtId="49" fontId="4" fillId="0" borderId="0" xfId="0" applyNumberFormat="1" applyFont="1"/>
    <xf numFmtId="2" fontId="4" fillId="0" borderId="0" xfId="0" applyNumberFormat="1" applyFont="1"/>
    <xf numFmtId="0" fontId="3" fillId="0" borderId="1" xfId="0" applyFont="1" applyBorder="1"/>
    <xf numFmtId="49" fontId="4" fillId="0" borderId="1" xfId="0" applyNumberFormat="1" applyFont="1" applyBorder="1"/>
    <xf numFmtId="0" fontId="0" fillId="0" borderId="1" xfId="0" applyBorder="1"/>
    <xf numFmtId="49" fontId="4" fillId="0" borderId="1" xfId="0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0" fontId="4" fillId="0" borderId="1" xfId="0" applyNumberFormat="1" applyFont="1" applyBorder="1"/>
    <xf numFmtId="0" fontId="5" fillId="2" borderId="3" xfId="0" applyFont="1" applyFill="1" applyBorder="1"/>
    <xf numFmtId="0" fontId="6" fillId="3" borderId="3" xfId="0" applyFont="1" applyFill="1" applyBorder="1" applyAlignment="1">
      <alignment horizontal="left" vertical="center"/>
    </xf>
    <xf numFmtId="0" fontId="8" fillId="0" borderId="0" xfId="0" applyFont="1"/>
    <xf numFmtId="14" fontId="9" fillId="0" borderId="0" xfId="0" applyNumberFormat="1" applyFont="1" applyAlignment="1">
      <alignment horizontal="left" vertical="center"/>
    </xf>
    <xf numFmtId="2" fontId="8" fillId="0" borderId="0" xfId="0" applyNumberFormat="1" applyFont="1"/>
    <xf numFmtId="14" fontId="8" fillId="0" borderId="0" xfId="0" applyNumberFormat="1" applyFont="1"/>
    <xf numFmtId="14" fontId="9" fillId="0" borderId="0" xfId="0" applyNumberFormat="1" applyFont="1" applyAlignment="1">
      <alignment horizontal="left" vertical="center" wrapText="1"/>
    </xf>
    <xf numFmtId="1" fontId="9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/>
    <xf numFmtId="165" fontId="8" fillId="0" borderId="0" xfId="0" applyNumberFormat="1" applyFont="1"/>
    <xf numFmtId="0" fontId="8" fillId="0" borderId="0" xfId="0" quotePrefix="1" applyFont="1"/>
    <xf numFmtId="2" fontId="10" fillId="0" borderId="0" xfId="0" applyNumberFormat="1" applyFont="1"/>
    <xf numFmtId="0" fontId="8" fillId="0" borderId="0" xfId="0" quotePrefix="1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1" fillId="0" borderId="1" xfId="0" applyFont="1" applyBorder="1"/>
    <xf numFmtId="0" fontId="7" fillId="4" borderId="2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7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5</xdr:row>
      <xdr:rowOff>142875</xdr:rowOff>
    </xdr:from>
    <xdr:to>
      <xdr:col>8</xdr:col>
      <xdr:colOff>425890</xdr:colOff>
      <xdr:row>23</xdr:row>
      <xdr:rowOff>65996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21642-0C97-4827-BAA6-686B2A616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904875"/>
          <a:ext cx="7398190" cy="335212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276226</xdr:colOff>
      <xdr:row>48</xdr:row>
      <xdr:rowOff>101912</xdr:rowOff>
    </xdr:from>
    <xdr:to>
      <xdr:col>8</xdr:col>
      <xdr:colOff>542924</xdr:colOff>
      <xdr:row>62</xdr:row>
      <xdr:rowOff>183605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B33BC-55DE-4153-A5B5-E29281A21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6" y="9055412"/>
          <a:ext cx="7362823" cy="27550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209550</xdr:colOff>
      <xdr:row>66</xdr:row>
      <xdr:rowOff>28575</xdr:rowOff>
    </xdr:from>
    <xdr:to>
      <xdr:col>9</xdr:col>
      <xdr:colOff>18111</xdr:colOff>
      <xdr:row>84</xdr:row>
      <xdr:rowOff>18623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BB0EC1-C996-41BB-BA39-CBBBADEC6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2411075"/>
          <a:ext cx="7514286" cy="3419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87</xdr:row>
      <xdr:rowOff>6184</xdr:rowOff>
    </xdr:from>
    <xdr:to>
      <xdr:col>8</xdr:col>
      <xdr:colOff>542925</xdr:colOff>
      <xdr:row>104</xdr:row>
      <xdr:rowOff>158313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7F8B55-C220-44BA-B558-29252FC9B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150" y="16027234"/>
          <a:ext cx="7845425" cy="328267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53975</xdr:colOff>
      <xdr:row>111</xdr:row>
      <xdr:rowOff>152400</xdr:rowOff>
    </xdr:from>
    <xdr:to>
      <xdr:col>9</xdr:col>
      <xdr:colOff>110155</xdr:colOff>
      <xdr:row>128</xdr:row>
      <xdr:rowOff>161519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BE5910-FAAC-426A-B340-EB6ECFE68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20593050"/>
          <a:ext cx="7987330" cy="31396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15875</xdr:colOff>
      <xdr:row>161</xdr:row>
      <xdr:rowOff>152400</xdr:rowOff>
    </xdr:from>
    <xdr:to>
      <xdr:col>11</xdr:col>
      <xdr:colOff>14759</xdr:colOff>
      <xdr:row>180</xdr:row>
      <xdr:rowOff>132900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861379-D92A-4B8C-A018-AC6117EED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" y="31813500"/>
          <a:ext cx="9149234" cy="34793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314325</xdr:colOff>
      <xdr:row>223</xdr:row>
      <xdr:rowOff>133350</xdr:rowOff>
    </xdr:from>
    <xdr:to>
      <xdr:col>10</xdr:col>
      <xdr:colOff>218048</xdr:colOff>
      <xdr:row>241</xdr:row>
      <xdr:rowOff>132921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78F159F-D9B9-4768-9AC5-4B918DEE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325" y="38004750"/>
          <a:ext cx="8219048" cy="342857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381000</xdr:colOff>
      <xdr:row>245</xdr:row>
      <xdr:rowOff>171450</xdr:rowOff>
    </xdr:from>
    <xdr:to>
      <xdr:col>10</xdr:col>
      <xdr:colOff>341865</xdr:colOff>
      <xdr:row>259</xdr:row>
      <xdr:rowOff>104450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86D1BD8-8C4C-48F1-B61D-53D61307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0" y="42233850"/>
          <a:ext cx="8276190" cy="2600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323850</xdr:colOff>
      <xdr:row>266</xdr:row>
      <xdr:rowOff>0</xdr:rowOff>
    </xdr:from>
    <xdr:to>
      <xdr:col>8</xdr:col>
      <xdr:colOff>189630</xdr:colOff>
      <xdr:row>287</xdr:row>
      <xdr:rowOff>104262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E652D6E-1F56-4D59-BE9B-416976061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3850" y="46062900"/>
          <a:ext cx="6961905" cy="410476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171450</xdr:colOff>
      <xdr:row>290</xdr:row>
      <xdr:rowOff>66675</xdr:rowOff>
    </xdr:from>
    <xdr:to>
      <xdr:col>6</xdr:col>
      <xdr:colOff>1256551</xdr:colOff>
      <xdr:row>300</xdr:row>
      <xdr:rowOff>180723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43B24E-926B-42EE-B0D4-486CA6D3A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450" y="50701575"/>
          <a:ext cx="5990476" cy="2019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142</xdr:row>
      <xdr:rowOff>38100</xdr:rowOff>
    </xdr:from>
    <xdr:to>
      <xdr:col>9</xdr:col>
      <xdr:colOff>247649</xdr:colOff>
      <xdr:row>150</xdr:row>
      <xdr:rowOff>142875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C84D23B-ED55-4EF4-91F4-4155E85E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6898600"/>
          <a:ext cx="7953374" cy="162877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27</xdr:row>
      <xdr:rowOff>9525</xdr:rowOff>
    </xdr:from>
    <xdr:to>
      <xdr:col>4</xdr:col>
      <xdr:colOff>1924050</xdr:colOff>
      <xdr:row>43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3D2079-40D1-63A8-2BCE-FB2284F69A87}"/>
            </a:ext>
            <a:ext uri="{147F2762-F138-4A5C-976F-8EAC2B608ADB}">
              <a16:predDERef xmlns:a16="http://schemas.microsoft.com/office/drawing/2014/main" pred="{BC84D23B-ED55-4EF4-91F4-4155E85E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" y="5153025"/>
          <a:ext cx="4124325" cy="320992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25400</xdr:colOff>
      <xdr:row>181</xdr:row>
      <xdr:rowOff>133351</xdr:rowOff>
    </xdr:from>
    <xdr:to>
      <xdr:col>7</xdr:col>
      <xdr:colOff>273050</xdr:colOff>
      <xdr:row>202</xdr:row>
      <xdr:rowOff>73885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8DF7CC-F5E8-4776-9BB6-D08EB1FCD75C}"/>
            </a:ext>
            <a:ext uri="{147F2762-F138-4A5C-976F-8EAC2B608ADB}">
              <a16:predDERef xmlns:a16="http://schemas.microsoft.com/office/drawing/2014/main" pred="{BC84D23B-ED55-4EF4-91F4-4155E85EF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26455"/>
        <a:stretch/>
      </xdr:blipFill>
      <xdr:spPr>
        <a:xfrm>
          <a:off x="190500" y="35477451"/>
          <a:ext cx="6959600" cy="38076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2</xdr:col>
      <xdr:colOff>31750</xdr:colOff>
      <xdr:row>187</xdr:row>
      <xdr:rowOff>95250</xdr:rowOff>
    </xdr:from>
    <xdr:to>
      <xdr:col>3</xdr:col>
      <xdr:colOff>241300</xdr:colOff>
      <xdr:row>189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E596A88-DD30-5E85-E9DC-02C0165444DA}"/>
            </a:ext>
          </a:extLst>
        </xdr:cNvPr>
        <xdr:cNvSpPr/>
      </xdr:nvSpPr>
      <xdr:spPr>
        <a:xfrm>
          <a:off x="1346200" y="36544250"/>
          <a:ext cx="819150" cy="273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539750</xdr:colOff>
      <xdr:row>198</xdr:row>
      <xdr:rowOff>57150</xdr:rowOff>
    </xdr:from>
    <xdr:to>
      <xdr:col>4</xdr:col>
      <xdr:colOff>717550</xdr:colOff>
      <xdr:row>199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1F20126-A3B9-4B0E-B956-8125F4276407}"/>
            </a:ext>
          </a:extLst>
        </xdr:cNvPr>
        <xdr:cNvSpPr/>
      </xdr:nvSpPr>
      <xdr:spPr>
        <a:xfrm>
          <a:off x="3073400" y="38531800"/>
          <a:ext cx="177800" cy="165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1098550</xdr:colOff>
      <xdr:row>187</xdr:row>
      <xdr:rowOff>107950</xdr:rowOff>
    </xdr:from>
    <xdr:to>
      <xdr:col>4</xdr:col>
      <xdr:colOff>1917700</xdr:colOff>
      <xdr:row>188</xdr:row>
      <xdr:rowOff>165100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AF1727A-439D-4D0D-886F-C246616585E0}"/>
            </a:ext>
          </a:extLst>
        </xdr:cNvPr>
        <xdr:cNvSpPr/>
      </xdr:nvSpPr>
      <xdr:spPr>
        <a:xfrm>
          <a:off x="3632200" y="36556950"/>
          <a:ext cx="81915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165100</xdr:colOff>
      <xdr:row>187</xdr:row>
      <xdr:rowOff>101600</xdr:rowOff>
    </xdr:from>
    <xdr:to>
      <xdr:col>1</xdr:col>
      <xdr:colOff>711200</xdr:colOff>
      <xdr:row>188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9B7736-0705-4E36-95B2-041F7A864C9E}"/>
            </a:ext>
          </a:extLst>
        </xdr:cNvPr>
        <xdr:cNvSpPr/>
      </xdr:nvSpPr>
      <xdr:spPr>
        <a:xfrm>
          <a:off x="330200" y="36550600"/>
          <a:ext cx="546100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425450</xdr:colOff>
      <xdr:row>183</xdr:row>
      <xdr:rowOff>57150</xdr:rowOff>
    </xdr:from>
    <xdr:to>
      <xdr:col>1</xdr:col>
      <xdr:colOff>825500</xdr:colOff>
      <xdr:row>187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93D9247-9BCD-9E79-7F6A-F2BA5824281F}"/>
            </a:ext>
          </a:extLst>
        </xdr:cNvPr>
        <xdr:cNvCxnSpPr/>
      </xdr:nvCxnSpPr>
      <xdr:spPr>
        <a:xfrm flipV="1">
          <a:off x="590550" y="35769550"/>
          <a:ext cx="400050" cy="7810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1127125</xdr:colOff>
      <xdr:row>189</xdr:row>
      <xdr:rowOff>0</xdr:rowOff>
    </xdr:from>
    <xdr:to>
      <xdr:col>2</xdr:col>
      <xdr:colOff>441325</xdr:colOff>
      <xdr:row>191</xdr:row>
      <xdr:rowOff>57150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89769B3-106A-45A1-965D-BF9E7B5AE625}"/>
            </a:ext>
          </a:extLst>
        </xdr:cNvPr>
        <xdr:cNvCxnSpPr>
          <a:stCxn id="8" idx="2"/>
          <a:endCxn id="26" idx="0"/>
        </xdr:cNvCxnSpPr>
      </xdr:nvCxnSpPr>
      <xdr:spPr>
        <a:xfrm flipH="1">
          <a:off x="1292225" y="36817300"/>
          <a:ext cx="463550" cy="425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628650</xdr:colOff>
      <xdr:row>195</xdr:row>
      <xdr:rowOff>44450</xdr:rowOff>
    </xdr:from>
    <xdr:to>
      <xdr:col>4</xdr:col>
      <xdr:colOff>631825</xdr:colOff>
      <xdr:row>198</xdr:row>
      <xdr:rowOff>44450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872F416-DF59-4822-9CB1-E2B5775DD571}"/>
            </a:ext>
          </a:extLst>
        </xdr:cNvPr>
        <xdr:cNvCxnSpPr/>
      </xdr:nvCxnSpPr>
      <xdr:spPr>
        <a:xfrm flipH="1" flipV="1">
          <a:off x="3162300" y="37966650"/>
          <a:ext cx="3175" cy="552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1511300</xdr:colOff>
      <xdr:row>184</xdr:row>
      <xdr:rowOff>88900</xdr:rowOff>
    </xdr:from>
    <xdr:to>
      <xdr:col>4</xdr:col>
      <xdr:colOff>1514475</xdr:colOff>
      <xdr:row>187</xdr:row>
      <xdr:rowOff>88900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B60B582-504E-44AB-80BD-290DC391E96B}"/>
            </a:ext>
          </a:extLst>
        </xdr:cNvPr>
        <xdr:cNvCxnSpPr/>
      </xdr:nvCxnSpPr>
      <xdr:spPr>
        <a:xfrm flipH="1" flipV="1">
          <a:off x="4044950" y="35985450"/>
          <a:ext cx="3175" cy="552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552450</xdr:colOff>
      <xdr:row>191</xdr:row>
      <xdr:rowOff>57150</xdr:rowOff>
    </xdr:from>
    <xdr:to>
      <xdr:col>2</xdr:col>
      <xdr:colOff>552450</xdr:colOff>
      <xdr:row>192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CC2494D-0E9D-6F4C-4D93-CF80AE8AC3DD}"/>
            </a:ext>
          </a:extLst>
        </xdr:cNvPr>
        <xdr:cNvSpPr txBox="1"/>
      </xdr:nvSpPr>
      <xdr:spPr>
        <a:xfrm>
          <a:off x="717550" y="37242750"/>
          <a:ext cx="1149350" cy="22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/>
            <a:t>Local Product Name</a:t>
          </a:r>
        </a:p>
      </xdr:txBody>
    </xdr:sp>
    <xdr:clientData/>
  </xdr:twoCellAnchor>
  <xdr:twoCellAnchor>
    <xdr:from>
      <xdr:col>4</xdr:col>
      <xdr:colOff>209550</xdr:colOff>
      <xdr:row>194</xdr:row>
      <xdr:rowOff>0</xdr:rowOff>
    </xdr:from>
    <xdr:to>
      <xdr:col>4</xdr:col>
      <xdr:colOff>1047750</xdr:colOff>
      <xdr:row>195</xdr:row>
      <xdr:rowOff>12700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F3496B8-E99D-4EBC-AE00-FF522CA9B23E}"/>
            </a:ext>
          </a:extLst>
        </xdr:cNvPr>
        <xdr:cNvSpPr txBox="1"/>
      </xdr:nvSpPr>
      <xdr:spPr>
        <a:xfrm>
          <a:off x="2743200" y="37738050"/>
          <a:ext cx="838200" cy="19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/>
            <a:t>Strength Size</a:t>
          </a:r>
        </a:p>
      </xdr:txBody>
    </xdr:sp>
    <xdr:clientData/>
  </xdr:twoCellAnchor>
  <xdr:twoCellAnchor>
    <xdr:from>
      <xdr:col>4</xdr:col>
      <xdr:colOff>1123950</xdr:colOff>
      <xdr:row>183</xdr:row>
      <xdr:rowOff>38100</xdr:rowOff>
    </xdr:from>
    <xdr:to>
      <xdr:col>4</xdr:col>
      <xdr:colOff>1898650</xdr:colOff>
      <xdr:row>184</xdr:row>
      <xdr:rowOff>76200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4CA3C8B-538B-461D-9B2C-9C761DEDBC58}"/>
            </a:ext>
          </a:extLst>
        </xdr:cNvPr>
        <xdr:cNvSpPr txBox="1"/>
      </xdr:nvSpPr>
      <xdr:spPr>
        <a:xfrm>
          <a:off x="3657600" y="35750500"/>
          <a:ext cx="774700" cy="22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kern="1200"/>
            <a:t>Formulation</a:t>
          </a:r>
        </a:p>
      </xdr:txBody>
    </xdr:sp>
    <xdr:clientData/>
  </xdr:twoCellAnchor>
  <xdr:twoCellAnchor>
    <xdr:from>
      <xdr:col>1</xdr:col>
      <xdr:colOff>412750</xdr:colOff>
      <xdr:row>182</xdr:row>
      <xdr:rowOff>0</xdr:rowOff>
    </xdr:from>
    <xdr:to>
      <xdr:col>2</xdr:col>
      <xdr:colOff>412750</xdr:colOff>
      <xdr:row>183</xdr:row>
      <xdr:rowOff>38100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E2E6A3E-BCEC-44A8-8B28-8B2A3CFE3DB8}"/>
            </a:ext>
          </a:extLst>
        </xdr:cNvPr>
        <xdr:cNvSpPr txBox="1"/>
      </xdr:nvSpPr>
      <xdr:spPr>
        <a:xfrm>
          <a:off x="577850" y="35528250"/>
          <a:ext cx="1149350" cy="22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/>
            <a:t>Local Pack Code</a:t>
          </a:r>
        </a:p>
      </xdr:txBody>
    </xdr:sp>
    <xdr:clientData/>
  </xdr:twoCellAnchor>
  <xdr:twoCellAnchor>
    <xdr:from>
      <xdr:col>4</xdr:col>
      <xdr:colOff>717550</xdr:colOff>
      <xdr:row>200</xdr:row>
      <xdr:rowOff>76200</xdr:rowOff>
    </xdr:from>
    <xdr:to>
      <xdr:col>4</xdr:col>
      <xdr:colOff>895350</xdr:colOff>
      <xdr:row>201</xdr:row>
      <xdr:rowOff>57150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302C1EF-E686-4300-BDBA-3CAA6CBB7B15}"/>
            </a:ext>
          </a:extLst>
        </xdr:cNvPr>
        <xdr:cNvSpPr/>
      </xdr:nvSpPr>
      <xdr:spPr>
        <a:xfrm>
          <a:off x="3251200" y="38919150"/>
          <a:ext cx="177800" cy="165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904875</xdr:colOff>
      <xdr:row>199</xdr:row>
      <xdr:rowOff>168275</xdr:rowOff>
    </xdr:from>
    <xdr:to>
      <xdr:col>4</xdr:col>
      <xdr:colOff>1263650</xdr:colOff>
      <xdr:row>200</xdr:row>
      <xdr:rowOff>165100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C764D84-626C-4DFE-889B-AFF1709CF512}"/>
            </a:ext>
          </a:extLst>
        </xdr:cNvPr>
        <xdr:cNvCxnSpPr>
          <a:endCxn id="35" idx="1"/>
        </xdr:cNvCxnSpPr>
      </xdr:nvCxnSpPr>
      <xdr:spPr>
        <a:xfrm flipV="1">
          <a:off x="3438525" y="38827075"/>
          <a:ext cx="358775" cy="180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1263650</xdr:colOff>
      <xdr:row>199</xdr:row>
      <xdr:rowOff>82550</xdr:rowOff>
    </xdr:from>
    <xdr:to>
      <xdr:col>5</xdr:col>
      <xdr:colOff>12700</xdr:colOff>
      <xdr:row>200</xdr:row>
      <xdr:rowOff>69850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BC83450-E56F-4EAB-B75E-3CBFB2E77746}"/>
            </a:ext>
          </a:extLst>
        </xdr:cNvPr>
        <xdr:cNvSpPr txBox="1"/>
      </xdr:nvSpPr>
      <xdr:spPr>
        <a:xfrm>
          <a:off x="3797300" y="38741350"/>
          <a:ext cx="8255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kern="1200"/>
            <a:t>Strength Unit</a:t>
          </a:r>
        </a:p>
      </xdr:txBody>
    </xdr:sp>
    <xdr:clientData/>
  </xdr:twoCellAnchor>
  <xdr:twoCellAnchor>
    <xdr:from>
      <xdr:col>6</xdr:col>
      <xdr:colOff>1244600</xdr:colOff>
      <xdr:row>187</xdr:row>
      <xdr:rowOff>101600</xdr:rowOff>
    </xdr:from>
    <xdr:to>
      <xdr:col>7</xdr:col>
      <xdr:colOff>139700</xdr:colOff>
      <xdr:row>188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96DA4E7-8102-42BD-BC2E-492CA7115999}"/>
            </a:ext>
          </a:extLst>
        </xdr:cNvPr>
        <xdr:cNvSpPr/>
      </xdr:nvSpPr>
      <xdr:spPr>
        <a:xfrm>
          <a:off x="6464300" y="36550600"/>
          <a:ext cx="552450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1514475</xdr:colOff>
      <xdr:row>185</xdr:row>
      <xdr:rowOff>0</xdr:rowOff>
    </xdr:from>
    <xdr:to>
      <xdr:col>6</xdr:col>
      <xdr:colOff>1517650</xdr:colOff>
      <xdr:row>187</xdr:row>
      <xdr:rowOff>95250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2C82414-2FBC-4017-84A3-7524508E0B3D}"/>
            </a:ext>
          </a:extLst>
        </xdr:cNvPr>
        <xdr:cNvCxnSpPr/>
      </xdr:nvCxnSpPr>
      <xdr:spPr>
        <a:xfrm flipV="1">
          <a:off x="6734175" y="36080700"/>
          <a:ext cx="3175" cy="4635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1123950</xdr:colOff>
      <xdr:row>182</xdr:row>
      <xdr:rowOff>12700</xdr:rowOff>
    </xdr:from>
    <xdr:to>
      <xdr:col>7</xdr:col>
      <xdr:colOff>241300</xdr:colOff>
      <xdr:row>184</xdr:row>
      <xdr:rowOff>165100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D52FC6A-1E29-432B-B441-60313943C836}"/>
            </a:ext>
          </a:extLst>
        </xdr:cNvPr>
        <xdr:cNvSpPr txBox="1"/>
      </xdr:nvSpPr>
      <xdr:spPr>
        <a:xfrm>
          <a:off x="6343650" y="35540950"/>
          <a:ext cx="7747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kern="1200"/>
            <a:t>Ex- Fact Wholesale Price</a:t>
          </a:r>
        </a:p>
      </xdr:txBody>
    </xdr:sp>
    <xdr:clientData/>
  </xdr:twoCellAnchor>
  <xdr:twoCellAnchor>
    <xdr:from>
      <xdr:col>2</xdr:col>
      <xdr:colOff>107950</xdr:colOff>
      <xdr:row>185</xdr:row>
      <xdr:rowOff>25400</xdr:rowOff>
    </xdr:from>
    <xdr:to>
      <xdr:col>3</xdr:col>
      <xdr:colOff>368300</xdr:colOff>
      <xdr:row>186</xdr:row>
      <xdr:rowOff>82550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3DE92D2-62DF-47CA-A370-255D6E97F806}"/>
            </a:ext>
          </a:extLst>
        </xdr:cNvPr>
        <xdr:cNvSpPr/>
      </xdr:nvSpPr>
      <xdr:spPr>
        <a:xfrm>
          <a:off x="1422400" y="36106100"/>
          <a:ext cx="86995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</xdr:col>
      <xdr:colOff>28575</xdr:colOff>
      <xdr:row>183</xdr:row>
      <xdr:rowOff>114300</xdr:rowOff>
    </xdr:from>
    <xdr:to>
      <xdr:col>3</xdr:col>
      <xdr:colOff>196850</xdr:colOff>
      <xdr:row>185</xdr:row>
      <xdr:rowOff>38100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D5B62190-3269-4FAA-B469-1B96D100B5BF}"/>
            </a:ext>
          </a:extLst>
        </xdr:cNvPr>
        <xdr:cNvCxnSpPr/>
      </xdr:nvCxnSpPr>
      <xdr:spPr>
        <a:xfrm flipV="1">
          <a:off x="1952625" y="35826700"/>
          <a:ext cx="168275" cy="2921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501650</xdr:colOff>
      <xdr:row>182</xdr:row>
      <xdr:rowOff>69850</xdr:rowOff>
    </xdr:from>
    <xdr:to>
      <xdr:col>4</xdr:col>
      <xdr:colOff>374650</xdr:colOff>
      <xdr:row>183</xdr:row>
      <xdr:rowOff>120650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3AA7F1B-9D64-4CCC-A02F-6D5F8B45B08D}"/>
            </a:ext>
          </a:extLst>
        </xdr:cNvPr>
        <xdr:cNvSpPr txBox="1"/>
      </xdr:nvSpPr>
      <xdr:spPr>
        <a:xfrm>
          <a:off x="1816100" y="35598100"/>
          <a:ext cx="10922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kern="1200"/>
            <a:t>Customized</a:t>
          </a:r>
          <a:r>
            <a:rPr lang="en-US" sz="900" kern="1200" baseline="0"/>
            <a:t> col 1</a:t>
          </a:r>
          <a:endParaRPr lang="en-US" sz="9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tario.ca/page/exceptional-access-program-product-prices" TargetMode="External"/><Relationship Id="rId2" Type="http://schemas.openxmlformats.org/officeDocument/2006/relationships/hyperlink" Target="http://www.pcodr.ca/wcpc/portal/Home/FindaReview?_afrLoop=3585663163466000&amp;lang=en&amp;_afrWindowMode=0&amp;_adf.ctrl-state=ou6p14jlk_167" TargetMode="External"/><Relationship Id="rId1" Type="http://schemas.openxmlformats.org/officeDocument/2006/relationships/hyperlink" Target="https://www.formulary.health.gov.on.ca/formulary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mulary.health.gov.on.ca/formulary/results.xhtml?man=PEN" TargetMode="External"/><Relationship Id="rId1" Type="http://schemas.openxmlformats.org/officeDocument/2006/relationships/hyperlink" Target="https://www.formulary.health.gov.on.ca/formulary/results.xhtml?man=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7"/>
  <sheetViews>
    <sheetView showGridLines="0" tabSelected="1" topLeftCell="A185" workbookViewId="0">
      <selection activeCell="J191" sqref="J191"/>
    </sheetView>
  </sheetViews>
  <sheetFormatPr defaultRowHeight="14.5" x14ac:dyDescent="0.35"/>
  <cols>
    <col min="1" max="1" width="2.36328125" customWidth="1"/>
    <col min="2" max="2" width="16.453125" customWidth="1"/>
    <col min="5" max="5" width="29.7265625" customWidth="1"/>
    <col min="7" max="7" width="23.7265625" customWidth="1"/>
  </cols>
  <sheetData>
    <row r="1" spans="2:2" x14ac:dyDescent="0.35">
      <c r="B1" s="4" t="s">
        <v>0</v>
      </c>
    </row>
    <row r="3" spans="2:2" x14ac:dyDescent="0.35">
      <c r="B3" t="s">
        <v>1</v>
      </c>
    </row>
    <row r="4" spans="2:2" x14ac:dyDescent="0.35">
      <c r="B4" s="1" t="s">
        <v>2</v>
      </c>
    </row>
    <row r="25" spans="2:2" x14ac:dyDescent="0.35">
      <c r="B25" t="s">
        <v>3</v>
      </c>
    </row>
    <row r="26" spans="2:2" x14ac:dyDescent="0.35">
      <c r="B26" s="2" t="s">
        <v>4</v>
      </c>
    </row>
    <row r="46" spans="2:2" x14ac:dyDescent="0.35">
      <c r="B46" t="s">
        <v>5</v>
      </c>
    </row>
    <row r="47" spans="2:2" x14ac:dyDescent="0.35">
      <c r="B47" s="3" t="s">
        <v>6</v>
      </c>
    </row>
    <row r="65" spans="2:2" x14ac:dyDescent="0.35">
      <c r="B65" t="s">
        <v>7</v>
      </c>
    </row>
    <row r="86" spans="2:2" x14ac:dyDescent="0.35">
      <c r="B86" t="s">
        <v>8</v>
      </c>
    </row>
    <row r="107" spans="2:2" x14ac:dyDescent="0.35">
      <c r="B107" t="s">
        <v>9</v>
      </c>
    </row>
    <row r="108" spans="2:2" x14ac:dyDescent="0.35">
      <c r="B108" t="s">
        <v>10</v>
      </c>
    </row>
    <row r="110" spans="2:2" x14ac:dyDescent="0.35">
      <c r="B110" t="s">
        <v>11</v>
      </c>
    </row>
    <row r="111" spans="2:2" x14ac:dyDescent="0.35">
      <c r="B111" t="s">
        <v>12</v>
      </c>
    </row>
    <row r="131" spans="2:3" x14ac:dyDescent="0.35">
      <c r="B131" t="s">
        <v>13</v>
      </c>
    </row>
    <row r="133" spans="2:3" x14ac:dyDescent="0.35">
      <c r="B133" t="s">
        <v>14</v>
      </c>
    </row>
    <row r="134" spans="2:3" x14ac:dyDescent="0.35">
      <c r="B134" t="s">
        <v>15</v>
      </c>
    </row>
    <row r="136" spans="2:3" x14ac:dyDescent="0.35">
      <c r="B136" t="s">
        <v>16</v>
      </c>
    </row>
    <row r="138" spans="2:3" x14ac:dyDescent="0.35">
      <c r="B138" s="4" t="s">
        <v>17</v>
      </c>
    </row>
    <row r="139" spans="2:3" x14ac:dyDescent="0.35">
      <c r="B139" s="4"/>
    </row>
    <row r="140" spans="2:3" x14ac:dyDescent="0.35">
      <c r="B140" s="4" t="s">
        <v>18</v>
      </c>
    </row>
    <row r="141" spans="2:3" x14ac:dyDescent="0.35">
      <c r="B141" s="4" t="s">
        <v>19</v>
      </c>
      <c r="C141" s="4" t="s">
        <v>20</v>
      </c>
    </row>
    <row r="142" spans="2:3" x14ac:dyDescent="0.35">
      <c r="B142" s="4"/>
    </row>
    <row r="152" spans="2:7" x14ac:dyDescent="0.35">
      <c r="B152" s="4" t="s">
        <v>21</v>
      </c>
    </row>
    <row r="154" spans="2:7" x14ac:dyDescent="0.35">
      <c r="B154" s="8" t="s">
        <v>22</v>
      </c>
      <c r="C154" s="8" t="s">
        <v>23</v>
      </c>
      <c r="D154" s="8" t="s">
        <v>24</v>
      </c>
      <c r="E154" s="8" t="s">
        <v>25</v>
      </c>
      <c r="F154" s="8" t="s">
        <v>26</v>
      </c>
      <c r="G154" s="8" t="s">
        <v>27</v>
      </c>
    </row>
    <row r="155" spans="2:7" ht="115" x14ac:dyDescent="0.35">
      <c r="B155" s="11" t="s">
        <v>28</v>
      </c>
      <c r="C155" s="12">
        <v>8.64</v>
      </c>
      <c r="D155" s="13"/>
      <c r="E155" s="11" t="s">
        <v>29</v>
      </c>
      <c r="F155" s="12">
        <v>0.7</v>
      </c>
      <c r="G155" s="13"/>
    </row>
    <row r="156" spans="2:7" ht="72.5" x14ac:dyDescent="0.35">
      <c r="B156" s="38" t="s">
        <v>30</v>
      </c>
      <c r="C156" s="10"/>
      <c r="D156" s="39">
        <v>0</v>
      </c>
      <c r="E156" s="38" t="s">
        <v>31</v>
      </c>
      <c r="F156" s="10"/>
      <c r="G156" s="39">
        <v>1</v>
      </c>
    </row>
    <row r="158" spans="2:7" x14ac:dyDescent="0.35">
      <c r="B158" s="4" t="s">
        <v>32</v>
      </c>
    </row>
    <row r="160" spans="2:7" x14ac:dyDescent="0.35">
      <c r="B160" t="s">
        <v>33</v>
      </c>
    </row>
    <row r="205" spans="2:2" x14ac:dyDescent="0.35">
      <c r="B205" t="s">
        <v>34</v>
      </c>
    </row>
    <row r="206" spans="2:2" x14ac:dyDescent="0.35">
      <c r="B206" t="s">
        <v>15</v>
      </c>
    </row>
    <row r="208" spans="2:2" x14ac:dyDescent="0.35">
      <c r="B208" t="s">
        <v>35</v>
      </c>
    </row>
    <row r="209" spans="2:6" x14ac:dyDescent="0.35">
      <c r="B209" t="s">
        <v>36</v>
      </c>
    </row>
    <row r="211" spans="2:6" x14ac:dyDescent="0.35">
      <c r="B211" t="s">
        <v>37</v>
      </c>
    </row>
    <row r="212" spans="2:6" x14ac:dyDescent="0.35">
      <c r="B212" t="s">
        <v>38</v>
      </c>
    </row>
    <row r="215" spans="2:6" x14ac:dyDescent="0.35">
      <c r="B215" s="5" t="s">
        <v>22</v>
      </c>
      <c r="C215" s="5" t="s">
        <v>23</v>
      </c>
      <c r="D215" s="5" t="s">
        <v>24</v>
      </c>
      <c r="E215" s="5" t="s">
        <v>25</v>
      </c>
      <c r="F215" s="5" t="s">
        <v>26</v>
      </c>
    </row>
    <row r="216" spans="2:6" x14ac:dyDescent="0.35">
      <c r="B216" s="6" t="s">
        <v>39</v>
      </c>
      <c r="C216" s="7">
        <v>71.893439999999998</v>
      </c>
      <c r="E216" s="6" t="s">
        <v>40</v>
      </c>
      <c r="F216" s="7">
        <v>0</v>
      </c>
    </row>
    <row r="219" spans="2:6" x14ac:dyDescent="0.35">
      <c r="B219" t="s">
        <v>41</v>
      </c>
    </row>
    <row r="220" spans="2:6" x14ac:dyDescent="0.35">
      <c r="B220" t="s">
        <v>42</v>
      </c>
    </row>
    <row r="222" spans="2:6" x14ac:dyDescent="0.35">
      <c r="B222" t="s">
        <v>43</v>
      </c>
    </row>
    <row r="245" spans="2:2" x14ac:dyDescent="0.35">
      <c r="B245" t="s">
        <v>44</v>
      </c>
    </row>
    <row r="263" spans="2:2" x14ac:dyDescent="0.35">
      <c r="B263" t="s">
        <v>45</v>
      </c>
    </row>
    <row r="265" spans="2:2" x14ac:dyDescent="0.35">
      <c r="B265" t="s">
        <v>46</v>
      </c>
    </row>
    <row r="290" spans="2:2" x14ac:dyDescent="0.35">
      <c r="B290" t="s">
        <v>47</v>
      </c>
    </row>
    <row r="303" spans="2:2" x14ac:dyDescent="0.35">
      <c r="B303" t="s">
        <v>48</v>
      </c>
    </row>
    <row r="305" spans="2:7" x14ac:dyDescent="0.35">
      <c r="B305" t="s">
        <v>49</v>
      </c>
    </row>
    <row r="307" spans="2:7" x14ac:dyDescent="0.35">
      <c r="B307" s="8" t="s">
        <v>22</v>
      </c>
      <c r="C307" s="8" t="s">
        <v>23</v>
      </c>
      <c r="D307" s="8" t="s">
        <v>24</v>
      </c>
      <c r="E307" s="8" t="s">
        <v>25</v>
      </c>
      <c r="F307" s="8" t="s">
        <v>26</v>
      </c>
      <c r="G307" s="8" t="s">
        <v>27</v>
      </c>
    </row>
    <row r="308" spans="2:7" x14ac:dyDescent="0.35">
      <c r="B308" s="9" t="s">
        <v>39</v>
      </c>
      <c r="C308" s="10"/>
      <c r="D308" s="14">
        <v>1</v>
      </c>
      <c r="E308" s="9" t="s">
        <v>50</v>
      </c>
      <c r="F308" s="10"/>
      <c r="G308" s="14">
        <v>0</v>
      </c>
    </row>
    <row r="312" spans="2:7" x14ac:dyDescent="0.35">
      <c r="B312" s="5" t="s">
        <v>51</v>
      </c>
    </row>
    <row r="313" spans="2:7" x14ac:dyDescent="0.35">
      <c r="B313" s="6" t="s">
        <v>52</v>
      </c>
    </row>
    <row r="316" spans="2:7" x14ac:dyDescent="0.35">
      <c r="B316" s="36" t="s">
        <v>53</v>
      </c>
    </row>
    <row r="317" spans="2:7" x14ac:dyDescent="0.35">
      <c r="B317" s="36" t="s">
        <v>54</v>
      </c>
    </row>
    <row r="319" spans="2:7" ht="16" x14ac:dyDescent="0.35">
      <c r="B319" s="35" t="s">
        <v>55</v>
      </c>
    </row>
    <row r="320" spans="2:7" x14ac:dyDescent="0.35">
      <c r="B320" s="37" t="s">
        <v>56</v>
      </c>
    </row>
    <row r="322" spans="2:2" x14ac:dyDescent="0.35">
      <c r="B322" t="s">
        <v>57</v>
      </c>
    </row>
    <row r="324" spans="2:2" x14ac:dyDescent="0.35">
      <c r="B324" s="33" t="s">
        <v>58</v>
      </c>
    </row>
    <row r="325" spans="2:2" x14ac:dyDescent="0.35">
      <c r="B325" s="33" t="s">
        <v>59</v>
      </c>
    </row>
    <row r="326" spans="2:2" x14ac:dyDescent="0.35">
      <c r="B326" s="33" t="s">
        <v>60</v>
      </c>
    </row>
    <row r="327" spans="2:2" x14ac:dyDescent="0.35">
      <c r="B327" s="33" t="s">
        <v>61</v>
      </c>
    </row>
  </sheetData>
  <conditionalFormatting sqref="B4">
    <cfRule type="expression" dxfId="7" priority="9" stopIfTrue="1">
      <formula>IF(OR(B4="Source:",B4="Source Type:", B4="Pricing Details",B4="Primary source",B4="Secondary source",B4="Search Instructions",B4="Descriptive fields",B4="Marketing Authority",B4="Source Update Date",B4="Currency",B4="Public Price incl. VAT",B4="VAT",B4="Public Price excl. VAT",B4="Pharmacy Markup",B4="Pharmacy Purchasing Price",B4="Wholesale markup",B4="Ex-factory Price",B4="Reimbursement",B4="Indication",B4="Reimbursed Price",B4="Reimbursement %",B4="Reimbursement Notes",B4="Patient Co-payment",B4="Source",B4="Source Type",B4="Pricing Details:",B4="Primary source:",B4="Secondary source:",B4="Search Instructions:",B4="Descriptive fields:",B4="Marketing Authority:",B4="Source Update Date:",B4="Currency:",B4="Public Price incl. VAT:",B4="VAT:",B4="Public Price excl. VAT:",B4="Pharmacy Markup:",B4="Pharmacy Purchasing Price:",B4="Wholesale markup:",B4="Ex-factory Price:", B4="Reimbursement:",B4="Indication:",B4="Reimbursed Price:",B4="Reimbursement %:", B4="Reimbursement Notes:",B4="Patient Co-payment:"),1,0)</formula>
    </cfRule>
    <cfRule type="expression" dxfId="6" priority="10">
      <formula>IF(OR(B4="Pricing Details",B4="Primary source",B4="Secondary source",B4="Search Instructions",B4="Descriptive fields",B4="Marketing Authority",B4="Source Update Date",B4="Currency",B4="Public Price incl. VAT",B4="VAT",B4="Public Price excl. VAT",B4="Pharmacy Markup",B4="Pharmacy Purchasing Price",B4="Wholesale markup",B4="Ex-factory Price",B4="Reimbursement",B4="Indication",B4="Reimbursed Price",B4="Reimbursement %",B4="Reimbursement Notes",B4="Patient Co-payment",B4="Pricing Details:",B4="Primary source:",B4="Secondary source:",B4="Search Instructions:",B4="Descriptive fields:",B4="Marketing Authority:",B4="Source Update Date:",B4="Currency:",B4="Public Price incl. VAT:",B4="VAT:",B4="Public Price excl. VAT:",B4="Pharmacy Markup:",B4="Pharmacy Purchasing Price:",B4="Wholesale markup:",B4="Ex-factory Price:",B4="Reimbursement:",B4="Indication:",B4="Reimbursed Price:",B4="Reimbursement %:",B4="Reimbursement Notes:",B4="Patient Co-payment:"),1,0)</formula>
    </cfRule>
  </conditionalFormatting>
  <conditionalFormatting sqref="B26">
    <cfRule type="expression" dxfId="5" priority="7" stopIfTrue="1">
      <formula>IF(OR(B26="Source:",B26="Source Type:", B26="Pricing Details",B26="Primary source",B26="Secondary source",B26="Search Instructions",B26="Descriptive fields",B26="Marketing Authority",B26="Source Update Date",B26="Currency",B26="Public Price incl. VAT",B26="VAT",B26="Public Price excl. VAT",B26="Pharmacy Markup",B26="Pharmacy Purchasing Price",B26="Wholesale markup",B26="Ex-factory Price",B26="Reimbursement",B26="Indication",B26="Reimbursed Price",B26="Reimbursement %",B26="Reimbursement Notes",B26="Patient Co-payment",B26="Source",B26="Source Type",B26="Pricing Details:",B26="Primary source:",B26="Secondary source:",B26="Search Instructions:",B26="Descriptive fields:",B26="Marketing Authority:",B26="Source Update Date:",B26="Currency:",B26="Public Price incl. VAT:",B26="VAT:",B26="Public Price excl. VAT:",B26="Pharmacy Markup:",B26="Pharmacy Purchasing Price:",B26="Wholesale markup:",B26="Ex-factory Price:", B26="Reimbursement:",B26="Indication:",B26="Reimbursed Price:",B26="Reimbursement %:", B26="Reimbursement Notes:",B26="Patient Co-payment:"),1,0)</formula>
    </cfRule>
    <cfRule type="expression" dxfId="4" priority="8">
      <formula>IF(OR(B26="Pricing Details",B26="Primary source",B26="Secondary source",B26="Search Instructions",B26="Descriptive fields",B26="Marketing Authority",B26="Source Update Date",B26="Currency",B26="Public Price incl. VAT",B26="VAT",B26="Public Price excl. VAT",B26="Pharmacy Markup",B26="Pharmacy Purchasing Price",B26="Wholesale markup",B26="Ex-factory Price",B26="Reimbursement",B26="Indication",B26="Reimbursed Price",B26="Reimbursement %",B26="Reimbursement Notes",B26="Patient Co-payment",B26="Pricing Details:",B26="Primary source:",B26="Secondary source:",B26="Search Instructions:",B26="Descriptive fields:",B26="Marketing Authority:",B26="Source Update Date:",B26="Currency:",B26="Public Price incl. VAT:",B26="VAT:",B26="Public Price excl. VAT:",B26="Pharmacy Markup:",B26="Pharmacy Purchasing Price:",B26="Wholesale markup:",B26="Ex-factory Price:",B26="Reimbursement:",B26="Indication:",B26="Reimbursed Price:",B26="Reimbursement %:",B26="Reimbursement Notes:",B26="Patient Co-payment:"),1,0)</formula>
    </cfRule>
  </conditionalFormatting>
  <conditionalFormatting sqref="B47">
    <cfRule type="expression" dxfId="3" priority="3" stopIfTrue="1">
      <formula>IF(OR(B47="Source:",B47="Source Type:", B47="Pricing Details",B47="Primary source",B47="Secondary source",B47="Search Instructions",B47="Descriptive fields",B47="Marketing Authority",B47="Source Update Date",B47="Currency",B47="Public Price incl. VAT",B47="VAT",B47="Public Price excl. VAT",B47="Pharmacy Markup",B47="Pharmacy Purchasing Price",B47="Wholesale markup",B47="Ex-factory Price",B47="Reimbursement",B47="Indication",B47="Reimbursed Price",B47="Reimbursement %",B47="Reimbursement Notes",B47="Patient Co-payment",B47="Source",B47="Source Type",B47="Pricing Details:",B47="Primary source:",B47="Secondary source:",B47="Search Instructions:",B47="Descriptive fields:",B47="Marketing Authority:",B47="Source Update Date:",B47="Currency:",B47="Public Price incl. VAT:",B47="VAT:",B47="Public Price excl. VAT:",B47="Pharmacy Markup:",B47="Pharmacy Purchasing Price:",B47="Wholesale markup:",B47="Ex-factory Price:", B47="Reimbursement:",B47="Indication:",B47="Reimbursed Price:",B47="Reimbursement %:", B47="Reimbursement Notes:",B47="Patient Co-payment:"),1,0)</formula>
    </cfRule>
    <cfRule type="expression" dxfId="2" priority="4">
      <formula>IF(OR(B47="Pricing Details",B47="Primary source",B47="Secondary source",B47="Search Instructions",B47="Descriptive fields",B47="Marketing Authority",B47="Source Update Date",B47="Currency",B47="Public Price incl. VAT",B47="VAT",B47="Public Price excl. VAT",B47="Pharmacy Markup",B47="Pharmacy Purchasing Price",B47="Wholesale markup",B47="Ex-factory Price",B47="Reimbursement",B47="Indication",B47="Reimbursed Price",B47="Reimbursement %",B47="Reimbursement Notes",B47="Patient Co-payment",B47="Pricing Details:",B47="Primary source:",B47="Secondary source:",B47="Search Instructions:",B47="Descriptive fields:",B47="Marketing Authority:",B47="Source Update Date:",B47="Currency:",B47="Public Price incl. VAT:",B47="VAT:",B47="Public Price excl. VAT:",B47="Pharmacy Markup:",B47="Pharmacy Purchasing Price:",B47="Wholesale markup:",B47="Ex-factory Price:",B47="Reimbursement:",B47="Indication:",B47="Reimbursed Price:",B47="Reimbursement %:",B47="Reimbursement Notes:",B47="Patient Co-payment:"),1,0)</formula>
    </cfRule>
  </conditionalFormatting>
  <hyperlinks>
    <hyperlink ref="B4" r:id="rId1" xr:uid="{7766B323-E3EF-445A-98AF-60F6E39043A5}"/>
    <hyperlink ref="B47" r:id="rId2" xr:uid="{8FCCFAD6-4290-4EC4-BD63-A6D0FF37BE81}"/>
    <hyperlink ref="B26" r:id="rId3" xr:uid="{BC77360E-3011-4361-8DA6-71F09D092441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C0C6-FA12-4D4E-97E5-352C8BE00424}">
  <dimension ref="A1:BQ14"/>
  <sheetViews>
    <sheetView showGridLines="0" workbookViewId="0">
      <selection activeCell="H9" sqref="H9"/>
    </sheetView>
  </sheetViews>
  <sheetFormatPr defaultRowHeight="14.5" x14ac:dyDescent="0.35"/>
  <sheetData>
    <row r="1" spans="1:69" x14ac:dyDescent="0.35">
      <c r="A1" s="10"/>
      <c r="B1" s="15" t="s">
        <v>62</v>
      </c>
      <c r="C1" s="15" t="s">
        <v>63</v>
      </c>
      <c r="D1" s="15" t="s">
        <v>64</v>
      </c>
      <c r="E1" s="15" t="s">
        <v>65</v>
      </c>
      <c r="F1" s="15" t="s">
        <v>66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  <c r="M1" s="15" t="s">
        <v>73</v>
      </c>
      <c r="N1" s="15" t="s">
        <v>74</v>
      </c>
      <c r="O1" s="15" t="s">
        <v>75</v>
      </c>
      <c r="P1" s="15" t="s">
        <v>76</v>
      </c>
      <c r="Q1" s="15" t="s">
        <v>77</v>
      </c>
      <c r="R1" s="15" t="s">
        <v>78</v>
      </c>
      <c r="S1" s="15" t="s">
        <v>79</v>
      </c>
      <c r="T1" s="15" t="s">
        <v>80</v>
      </c>
      <c r="U1" s="15" t="s">
        <v>81</v>
      </c>
      <c r="V1" s="15" t="s">
        <v>82</v>
      </c>
      <c r="W1" s="15" t="s">
        <v>83</v>
      </c>
      <c r="X1" s="15" t="s">
        <v>84</v>
      </c>
      <c r="Y1" s="15" t="s">
        <v>85</v>
      </c>
      <c r="Z1" s="15" t="s">
        <v>22</v>
      </c>
      <c r="AA1" s="15" t="s">
        <v>23</v>
      </c>
      <c r="AB1" s="15" t="s">
        <v>24</v>
      </c>
      <c r="AC1" s="15" t="s">
        <v>25</v>
      </c>
      <c r="AD1" s="15" t="s">
        <v>26</v>
      </c>
      <c r="AE1" s="15" t="s">
        <v>27</v>
      </c>
      <c r="AF1" s="15" t="s">
        <v>51</v>
      </c>
      <c r="AG1" s="15" t="s">
        <v>86</v>
      </c>
      <c r="AH1" s="15" t="s">
        <v>87</v>
      </c>
      <c r="AI1" s="15" t="s">
        <v>88</v>
      </c>
      <c r="AJ1" s="15" t="s">
        <v>89</v>
      </c>
      <c r="AK1" s="15" t="s">
        <v>90</v>
      </c>
      <c r="AL1" s="15" t="s">
        <v>91</v>
      </c>
      <c r="AM1" s="15" t="s">
        <v>92</v>
      </c>
      <c r="AN1" s="15" t="s">
        <v>93</v>
      </c>
      <c r="AO1" s="15" t="s">
        <v>94</v>
      </c>
      <c r="AP1" s="15" t="s">
        <v>95</v>
      </c>
      <c r="AQ1" s="15" t="s">
        <v>96</v>
      </c>
      <c r="AR1" s="15" t="s">
        <v>97</v>
      </c>
      <c r="AS1" s="15" t="s">
        <v>98</v>
      </c>
      <c r="AT1" s="15" t="s">
        <v>99</v>
      </c>
      <c r="AU1" s="15" t="s">
        <v>100</v>
      </c>
      <c r="AV1" s="15" t="s">
        <v>101</v>
      </c>
      <c r="AW1" s="15" t="s">
        <v>102</v>
      </c>
      <c r="AX1" s="15" t="s">
        <v>0</v>
      </c>
      <c r="AY1" s="15" t="s">
        <v>103</v>
      </c>
      <c r="AZ1" s="15" t="s">
        <v>104</v>
      </c>
      <c r="BA1" s="15" t="s">
        <v>105</v>
      </c>
      <c r="BB1" s="15" t="s">
        <v>106</v>
      </c>
      <c r="BC1" s="15" t="s">
        <v>107</v>
      </c>
      <c r="BD1" s="15" t="s">
        <v>108</v>
      </c>
      <c r="BE1" s="15" t="s">
        <v>109</v>
      </c>
      <c r="BF1" s="15" t="s">
        <v>110</v>
      </c>
      <c r="BG1" s="16" t="s">
        <v>111</v>
      </c>
      <c r="BH1" s="16" t="s">
        <v>112</v>
      </c>
      <c r="BI1" s="16" t="s">
        <v>113</v>
      </c>
      <c r="BJ1" s="16" t="s">
        <v>114</v>
      </c>
      <c r="BK1" s="16" t="s">
        <v>115</v>
      </c>
      <c r="BL1" s="16" t="s">
        <v>116</v>
      </c>
      <c r="BM1" s="16" t="s">
        <v>117</v>
      </c>
      <c r="BN1" s="16" t="s">
        <v>118</v>
      </c>
      <c r="BO1" s="16" t="s">
        <v>119</v>
      </c>
      <c r="BP1" s="16" t="s">
        <v>120</v>
      </c>
      <c r="BQ1" s="16" t="s">
        <v>121</v>
      </c>
    </row>
    <row r="2" spans="1:69" ht="78.5" x14ac:dyDescent="0.35">
      <c r="A2" s="40" t="s">
        <v>122</v>
      </c>
      <c r="B2" s="17"/>
      <c r="C2" s="17" t="s">
        <v>123</v>
      </c>
      <c r="D2" s="29" t="s">
        <v>124</v>
      </c>
      <c r="E2" s="17"/>
      <c r="F2" s="17"/>
      <c r="G2" s="17" t="s">
        <v>125</v>
      </c>
      <c r="H2" s="17"/>
      <c r="I2" s="17"/>
      <c r="J2" s="17"/>
      <c r="K2" s="6" t="s">
        <v>126</v>
      </c>
      <c r="L2" s="18"/>
      <c r="M2" s="6" t="s">
        <v>127</v>
      </c>
      <c r="N2" s="19">
        <v>0.17299999999999999</v>
      </c>
      <c r="O2" s="20"/>
      <c r="P2" s="17"/>
      <c r="Q2" s="17"/>
      <c r="R2" s="17"/>
      <c r="S2" s="19"/>
      <c r="T2" s="17"/>
      <c r="U2" s="17"/>
      <c r="V2" s="17"/>
      <c r="W2" s="19"/>
      <c r="X2" s="17"/>
      <c r="Y2" s="7">
        <v>0</v>
      </c>
      <c r="Z2" s="6" t="s">
        <v>28</v>
      </c>
      <c r="AA2" s="7">
        <v>8.64</v>
      </c>
      <c r="AC2" s="6" t="s">
        <v>29</v>
      </c>
      <c r="AD2" s="7">
        <v>0.7</v>
      </c>
      <c r="AF2" s="6" t="s">
        <v>52</v>
      </c>
      <c r="AG2" s="17"/>
      <c r="AH2" s="17" t="s">
        <v>128</v>
      </c>
      <c r="AI2" s="6" t="s">
        <v>129</v>
      </c>
      <c r="AJ2" s="18"/>
      <c r="AK2" s="17"/>
      <c r="AL2" s="17"/>
      <c r="AM2" s="29" t="s">
        <v>124</v>
      </c>
      <c r="AN2" s="17" t="s">
        <v>130</v>
      </c>
      <c r="AO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6" t="s">
        <v>131</v>
      </c>
      <c r="BD2" s="17"/>
      <c r="BE2" s="17"/>
      <c r="BF2" s="17"/>
      <c r="BG2" s="17"/>
      <c r="BH2" s="17" t="s">
        <v>59</v>
      </c>
      <c r="BI2" s="17"/>
      <c r="BJ2" s="17"/>
      <c r="BK2" s="21"/>
      <c r="BL2" s="22"/>
      <c r="BM2" s="21"/>
      <c r="BN2" s="21"/>
      <c r="BO2" s="22"/>
      <c r="BP2" s="21"/>
      <c r="BQ2" s="22"/>
    </row>
    <row r="3" spans="1:69" x14ac:dyDescent="0.35">
      <c r="A3" s="40"/>
      <c r="B3" s="17"/>
      <c r="C3" s="23"/>
      <c r="D3" s="17"/>
      <c r="E3" s="17"/>
      <c r="F3" s="17"/>
      <c r="G3" s="17"/>
      <c r="H3" s="17"/>
      <c r="I3" s="17"/>
      <c r="J3" s="17"/>
      <c r="K3" s="24"/>
      <c r="L3" s="20"/>
      <c r="M3" s="20"/>
      <c r="N3" s="19"/>
      <c r="O3" s="20"/>
      <c r="P3" s="17"/>
      <c r="Q3" s="17"/>
      <c r="R3" s="17"/>
      <c r="S3" s="17"/>
      <c r="T3" s="17"/>
      <c r="U3" s="17"/>
      <c r="V3" s="17"/>
      <c r="W3" s="19"/>
      <c r="X3" s="17"/>
      <c r="Y3" s="25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8"/>
      <c r="AK3" s="17"/>
      <c r="AL3" s="17"/>
      <c r="AM3" s="17"/>
      <c r="AN3" s="17"/>
      <c r="AO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21"/>
      <c r="BI3" s="21"/>
      <c r="BJ3" s="21"/>
      <c r="BK3" s="21"/>
      <c r="BL3" s="21"/>
      <c r="BM3" s="21"/>
      <c r="BN3" s="21"/>
      <c r="BO3" s="21"/>
      <c r="BP3" s="21"/>
      <c r="BQ3" s="21"/>
    </row>
    <row r="4" spans="1:69" x14ac:dyDescent="0.35">
      <c r="A4" s="40"/>
      <c r="B4" s="17"/>
      <c r="C4" s="17" t="s">
        <v>123</v>
      </c>
      <c r="D4" s="17"/>
      <c r="E4" s="17"/>
      <c r="F4" s="17"/>
      <c r="G4" s="17"/>
      <c r="H4" s="17"/>
      <c r="I4" s="17"/>
      <c r="J4" s="17"/>
      <c r="K4" s="24"/>
      <c r="L4" s="20"/>
      <c r="M4" s="6" t="s">
        <v>127</v>
      </c>
      <c r="N4" s="19"/>
      <c r="O4" s="20"/>
      <c r="P4" s="17"/>
      <c r="Q4" s="17"/>
      <c r="R4" s="17"/>
      <c r="S4" s="17"/>
      <c r="T4" s="17"/>
      <c r="U4" s="17"/>
      <c r="V4" s="17"/>
      <c r="W4" s="19"/>
      <c r="X4" s="17"/>
      <c r="Y4" s="25">
        <v>0</v>
      </c>
      <c r="Z4" s="17"/>
      <c r="AA4" s="17"/>
      <c r="AB4" s="17"/>
      <c r="AC4" s="17"/>
      <c r="AD4" s="17"/>
      <c r="AE4" s="17"/>
      <c r="AF4" s="6" t="s">
        <v>52</v>
      </c>
      <c r="AG4" s="17"/>
      <c r="AH4" s="17" t="s">
        <v>132</v>
      </c>
      <c r="AI4" s="6" t="s">
        <v>129</v>
      </c>
      <c r="AJ4" s="18"/>
      <c r="AK4" s="17"/>
      <c r="AL4" s="17"/>
      <c r="AM4" s="17"/>
      <c r="AN4" s="17"/>
      <c r="AO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21"/>
      <c r="BI4" s="21"/>
      <c r="BJ4" s="21"/>
      <c r="BK4" s="21"/>
      <c r="BL4" s="21"/>
      <c r="BM4" s="21"/>
      <c r="BN4" s="21"/>
      <c r="BO4" s="21"/>
      <c r="BP4" s="21"/>
      <c r="BQ4" s="21"/>
    </row>
    <row r="5" spans="1:69" ht="20" x14ac:dyDescent="0.35">
      <c r="A5" s="40" t="s">
        <v>133</v>
      </c>
      <c r="B5" s="17"/>
      <c r="C5" s="17" t="s">
        <v>134</v>
      </c>
      <c r="D5" s="17" t="s">
        <v>135</v>
      </c>
      <c r="E5" s="17"/>
      <c r="F5" s="17"/>
      <c r="G5" s="17" t="s">
        <v>67</v>
      </c>
      <c r="H5" s="17"/>
      <c r="I5" s="17"/>
      <c r="J5" s="17"/>
      <c r="K5" s="26" t="s">
        <v>136</v>
      </c>
      <c r="L5" s="17"/>
      <c r="M5" s="6" t="s">
        <v>134</v>
      </c>
      <c r="N5" s="17" t="s">
        <v>135</v>
      </c>
      <c r="O5" s="17"/>
      <c r="P5" s="17"/>
      <c r="Q5" s="17"/>
      <c r="R5" s="17"/>
      <c r="S5" s="27"/>
      <c r="T5" s="17"/>
      <c r="U5" s="17"/>
      <c r="V5" s="17"/>
      <c r="W5" s="27"/>
      <c r="X5" s="17"/>
      <c r="Y5" s="7" t="s">
        <v>134</v>
      </c>
      <c r="Z5" s="17" t="s">
        <v>135</v>
      </c>
      <c r="AA5" s="17" t="s">
        <v>135</v>
      </c>
      <c r="AB5" s="17"/>
      <c r="AC5" s="17" t="s">
        <v>135</v>
      </c>
      <c r="AD5" s="17" t="s">
        <v>135</v>
      </c>
      <c r="AE5" s="17"/>
      <c r="AF5" s="17" t="s">
        <v>134</v>
      </c>
      <c r="AG5" s="17"/>
      <c r="AH5" s="17" t="s">
        <v>134</v>
      </c>
      <c r="AI5" s="6" t="s">
        <v>134</v>
      </c>
      <c r="AJ5" s="18"/>
      <c r="AK5" s="17"/>
      <c r="AL5" s="17"/>
      <c r="AM5" s="17" t="s">
        <v>135</v>
      </c>
      <c r="AN5" s="17" t="s">
        <v>135</v>
      </c>
      <c r="AO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 t="s">
        <v>135</v>
      </c>
      <c r="BD5" s="17"/>
      <c r="BE5" s="17"/>
      <c r="BF5" s="17"/>
      <c r="BG5" s="17"/>
      <c r="BH5" s="21" t="s">
        <v>137</v>
      </c>
      <c r="BI5" s="21"/>
      <c r="BJ5" s="21"/>
      <c r="BK5" s="21"/>
      <c r="BL5" s="21"/>
      <c r="BM5" s="21"/>
      <c r="BN5" s="21"/>
      <c r="BO5" s="21"/>
      <c r="BP5" s="21"/>
      <c r="BQ5" s="21"/>
    </row>
    <row r="6" spans="1:69" x14ac:dyDescent="0.35">
      <c r="A6" s="40"/>
      <c r="B6" s="29"/>
      <c r="C6" s="28"/>
      <c r="D6" s="17"/>
      <c r="E6" s="17"/>
      <c r="F6" s="17"/>
      <c r="G6" s="17"/>
      <c r="H6" s="17"/>
      <c r="I6" s="17"/>
      <c r="J6" s="29"/>
      <c r="K6" s="17"/>
      <c r="L6" s="20"/>
      <c r="M6" s="28"/>
      <c r="N6" s="30"/>
      <c r="O6" s="29"/>
      <c r="P6" s="29"/>
      <c r="Q6" s="29"/>
      <c r="R6" s="29"/>
      <c r="S6" s="30"/>
      <c r="T6" s="29"/>
      <c r="U6" s="30"/>
      <c r="V6" s="29"/>
      <c r="W6" s="30"/>
      <c r="X6" s="29"/>
      <c r="Y6" s="28"/>
      <c r="Z6" s="17"/>
      <c r="AA6" s="29"/>
      <c r="AB6" s="17"/>
      <c r="AC6" s="29"/>
      <c r="AD6" s="29"/>
      <c r="AE6" s="17"/>
      <c r="AF6" s="28"/>
      <c r="AG6" s="29"/>
      <c r="AH6" s="29"/>
      <c r="AI6" s="29"/>
      <c r="AJ6" s="18"/>
      <c r="AK6" s="29"/>
      <c r="AL6" s="29"/>
      <c r="AM6" s="17"/>
      <c r="AO6" s="29"/>
      <c r="AQ6" s="29"/>
      <c r="AR6" s="29"/>
      <c r="AS6" s="29"/>
      <c r="AT6" s="29"/>
      <c r="AU6" s="29"/>
      <c r="AV6" s="29"/>
      <c r="AW6" s="29"/>
      <c r="AX6" s="28"/>
      <c r="AY6" s="29"/>
      <c r="AZ6" s="29"/>
      <c r="BA6" s="29"/>
      <c r="BB6" s="29"/>
      <c r="BC6" s="17"/>
      <c r="BD6" s="29"/>
      <c r="BE6" s="29"/>
      <c r="BF6" s="29"/>
      <c r="BG6" s="17"/>
      <c r="BH6" s="17"/>
      <c r="BI6" s="17"/>
      <c r="BJ6" s="17"/>
      <c r="BK6" s="17"/>
      <c r="BL6" s="21"/>
      <c r="BM6" s="21"/>
      <c r="BN6" s="21"/>
      <c r="BO6" s="21"/>
      <c r="BP6" s="21"/>
      <c r="BQ6" s="21"/>
    </row>
    <row r="7" spans="1:69" ht="52" x14ac:dyDescent="0.35">
      <c r="A7" s="34" t="s">
        <v>138</v>
      </c>
      <c r="B7" s="17"/>
      <c r="C7" s="17"/>
      <c r="D7" s="31"/>
      <c r="E7" s="17"/>
      <c r="F7" s="17"/>
      <c r="G7" s="17"/>
      <c r="H7" s="17"/>
      <c r="I7" s="17"/>
      <c r="J7" s="17"/>
      <c r="K7" s="17"/>
      <c r="L7" s="17"/>
      <c r="M7" s="20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31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32"/>
      <c r="BP7" s="32"/>
      <c r="BQ7" s="32"/>
    </row>
    <row r="8" spans="1:69" x14ac:dyDescent="0.35">
      <c r="A8" s="40" t="s">
        <v>139</v>
      </c>
      <c r="B8" s="17"/>
      <c r="C8" s="2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1:69" x14ac:dyDescent="0.35">
      <c r="A9" s="40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</row>
    <row r="10" spans="1:69" x14ac:dyDescent="0.35">
      <c r="A10" s="40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</row>
    <row r="11" spans="1:69" x14ac:dyDescent="0.35">
      <c r="A11" s="40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</row>
    <row r="12" spans="1:69" x14ac:dyDescent="0.35">
      <c r="A12" s="40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</row>
    <row r="13" spans="1:69" x14ac:dyDescent="0.35">
      <c r="A13" s="40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</row>
    <row r="14" spans="1:69" x14ac:dyDescent="0.35">
      <c r="A14" s="40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</row>
  </sheetData>
  <mergeCells count="3">
    <mergeCell ref="A2:A4"/>
    <mergeCell ref="A5:A6"/>
    <mergeCell ref="A8:A14"/>
  </mergeCells>
  <conditionalFormatting sqref="S5:S6">
    <cfRule type="expression" dxfId="1" priority="1" stopIfTrue="1">
      <formula>IF(OR(S5="Source:",S5="Source Type:", S5="Pricing Details",S5="Primary source",S5="Secondary source",S5="Search Instructions",S5="Descriptive fields",S5="Marketing Authority",S5="Source Update Date",S5="Currency",S5="Public Price incl. VAT",S5="VAT",S5="Public Price excl. VAT",S5="Pharmacy Markup",S5="Pharmacy Purchasing Price",S5="Wholesale markup",S5="Ex-factory Price",S5="Reimbursement",S5="Indication",S5="Reimbursed Price",S5="Reimbursement %",S5="Reimbursement Notes",S5="Patient Co-payment",S5="Source",S5="Source Type",S5="Pricing Details:",S5="Primary source:",S5="Secondary source:",S5="Search Instructions:",S5="Descriptive fields:",S5="Marketing Authority:",S5="Source Update Date:",S5="Currency:",S5="Public Price incl. VAT:",S5="VAT:",S5="Public Price excl. VAT:",S5="Pharmacy Markup:",S5="Pharmacy Purchasing Price:",S5="Wholesale markup:",S5="Ex-factory Price:", S5="Reimbursement:",S5="Indication:",S5="Reimbursed Price:",S5="Reimbursement %:", S5="Reimbursement Notes:",S5="Patient Co-payment:"),1,0)</formula>
    </cfRule>
  </conditionalFormatting>
  <conditionalFormatting sqref="W5">
    <cfRule type="expression" dxfId="0" priority="2" stopIfTrue="1">
      <formula>IF(OR(W5="Source:",W5="Source Type:", W5="Pricing Details",W5="Primary source",W5="Secondary source",W5="Search Instructions",W5="Descriptive fields",W5="Marketing Authority",W5="Source Update Date",W5="Currency",W5="Public Price incl. VAT",W5="VAT",W5="Public Price excl. VAT",W5="Pharmacy Markup",W5="Pharmacy Purchasing Price",W5="Wholesale markup",W5="Ex-factory Price",W5="Reimbursement",W5="Indication",W5="Reimbursed Price",W5="Reimbursement %",W5="Reimbursement Notes",W5="Patient Co-payment",W5="Source",W5="Source Type",W5="Pricing Details:",W5="Primary source:",W5="Secondary source:",W5="Search Instructions:",W5="Descriptive fields:",W5="Marketing Authority:",W5="Source Update Date:",W5="Currency:",W5="Public Price incl. VAT:",W5="VAT:",W5="Public Price excl. VAT:",W5="Pharmacy Markup:",W5="Pharmacy Purchasing Price:",W5="Wholesale markup:",W5="Ex-factory Price:", W5="Reimbursement:",W5="Indication:",W5="Reimbursed Price:",W5="Reimbursement %:", W5="Reimbursement Notes:",W5="Patient Co-payment:"),1,0)</formula>
    </cfRule>
  </conditionalFormatting>
  <hyperlinks>
    <hyperlink ref="AM2" r:id="rId1" tooltip="View all listed products by this Manufacturer" display="https://www.formulary.health.gov.on.ca/formulary/results.xhtml?man=PEN" xr:uid="{DBBEB969-B483-42E6-829B-CD79FDCA068A}"/>
    <hyperlink ref="D2" r:id="rId2" tooltip="View all listed products by this Manufacturer" display="https://www.formulary.health.gov.on.ca/formulary/results.xhtml?man=PEN" xr:uid="{E2EE7E3F-4DAE-4D56-B14A-794DA00ECD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2025-08-29T12:11:10Z</dcterms:modified>
  <cp:category/>
  <cp:contentStatus/>
</cp:coreProperties>
</file>